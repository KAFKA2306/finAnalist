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60cd6ddf3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97ff63552f4940ee"/>
    <x:sheet xmlns:r="http://schemas.openxmlformats.org/officeDocument/2006/relationships" name="損益計算書" sheetId="2" r:id="R847914e96096458a"/>
    <x:sheet xmlns:r="http://schemas.openxmlformats.org/officeDocument/2006/relationships" name="貸借対照表" sheetId="3" r:id="R574e6009fcd94284"/>
    <x:sheet xmlns:r="http://schemas.openxmlformats.org/officeDocument/2006/relationships" name="キャッシュフロー" sheetId="4" r:id="R2d3dad5b4c78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&quot;-&quot;"/>
    <x:numFmt numFmtId="201" formatCode="0.0%"/>
  </x:numFmts>
  <x:fonts count="11">
    <x:font>
      <x:sz val="11"/>
      <x:name val="Carlito"/>
    </x:font>
    <x:font>
      <x:sz val="10"/>
      <x:color rgb="FF302A27"/>
      <x:name val="Arial"/>
    </x:font>
    <x:font>
      <x:b/>
      <x:sz val="15"/>
      <x:color rgb="FF302A27"/>
      <x:name val="Arial"/>
    </x:font>
    <x:font>
      <x:i/>
      <x:sz val="9"/>
      <x:color rgb="FF6F655E"/>
      <x:name val="Arial"/>
    </x:font>
    <x:font>
      <x:sz val="8"/>
      <x:color rgb="FF6F655E"/>
      <x:name val="Arial"/>
    </x:font>
    <x:font>
      <x:b/>
      <x:sz val="10"/>
      <x:color rgb="FFFFFFFF"/>
      <x:name val="Arial"/>
    </x:font>
    <x:font>
      <x:sz val="10"/>
      <x:color rgb="FF174EA6"/>
      <x:name val="Arial"/>
    </x:font>
    <x:font>
      <x:b/>
      <x:sz val="10"/>
      <x:color rgb="FF302A27"/>
      <x:name val="Arial"/>
    </x:font>
    <x:font>
      <x:sz val="11"/>
      <x:color rgb="FF302A27"/>
      <x:name val="Arial"/>
    </x:font>
    <x:font>
      <x:b/>
      <x:sz val="16"/>
      <x:color rgb="FF302A2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2A27"/>
      </x:patternFill>
    </x:fill>
    <x:fill>
      <x:patternFill patternType="solid">
        <x:fgColor rgb="FFE8DAD0"/>
      </x:patternFill>
    </x:fill>
    <x:fill>
      <x:patternFill patternType="solid">
        <x:fgColor rgb="FFF6F1E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E8DAD0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0" fontId="1" fillId="3" borderId="0" xfId="0" applyNumberFormat="1" applyFont="1" applyFill="1" applyBorder="1"/>
    <x:xf numFmtId="200" fontId="6" fillId="3" borderId="0" xfId="0" applyNumberFormat="1" applyFont="1" applyFill="1" applyBorder="1"/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0" fontId="1" fillId="4" borderId="0" xfId="0" applyNumberFormat="1" applyFont="1" applyFill="1" applyBorder="1"/>
    <x:xf numFmtId="200" fontId="6" fillId="4" borderId="0" xfId="0" applyNumberFormat="1" applyFont="1" applyFill="1" applyBorder="1"/>
    <x:xf numFmtId="0" fontId="7" fillId="4" borderId="0" xfId="0" applyNumberFormat="1" applyFont="1" applyFill="1" applyBorder="1"/>
    <x:xf numFmtId="200" fontId="7" fillId="4" borderId="0" xfId="0" applyNumberFormat="1" applyFont="1" applyFill="1" applyBorder="1"/>
    <x:xf numFmtId="0" fontId="7" fillId="4" borderId="1" xfId="0" applyNumberFormat="1" applyFont="1" applyFill="1" applyBorder="1"/>
    <x:xf numFmtId="200" fontId="7" fillId="4" borderId="1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/>
    <x:xf numFmtId="0" fontId="10" fillId="2" borderId="0" xfId="0" applyNumberFormat="1" applyFont="1" applyFill="1" applyBorder="1"/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8" fillId="4" borderId="0" xfId="0" applyNumberFormat="1" applyFont="1" applyFill="1" applyBorder="1"/>
    <x:xf numFmtId="200" fontId="8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06fdd765c4e12" /><Relationship Type="http://schemas.openxmlformats.org/officeDocument/2006/relationships/theme" Target="/xl/theme/theme1.xml" Id="R3f00094f416f48f1" /><Relationship Type="http://schemas.openxmlformats.org/officeDocument/2006/relationships/sharedStrings" Target="/xl/sharedStrings.xml" Id="Ra4e3e23867a94984" /><Relationship Type="http://schemas.openxmlformats.org/officeDocument/2006/relationships/worksheet" Target="/xl/worksheets/sheet1.xml" Id="R97ff63552f4940ee" /><Relationship Type="http://schemas.openxmlformats.org/officeDocument/2006/relationships/worksheet" Target="/xl/worksheets/sheet2.xml" Id="R847914e96096458a" /><Relationship Type="http://schemas.openxmlformats.org/officeDocument/2006/relationships/worksheet" Target="/xl/worksheets/sheet3.xml" Id="R574e6009fcd94284" /><Relationship Type="http://schemas.openxmlformats.org/officeDocument/2006/relationships/worksheet" Target="/xl/worksheets/sheet4.xml" Id="R2d3dad5b4c7841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02A27"/>
  </x:sheetPr>
  <x:sheetViews>
    <x:sheetView showGridLines="0" workbookViewId="0"/>
  </x:sheetViews>
  <x:sheetFormatPr defaultRowHeight="15"/>
  <x:cols>
    <x:col min="1" max="1" width="55" hidden="0" customWidth="1"/>
    <x:col min="2" max="2" width="20" hidden="0" customWidth="1"/>
  </x:cols>
  <x:sheetData>
    <x:row r="1">
      <x:c r="A1" s="20"/>
      <x:c r="B1" s="20"/>
      <x:c r="C1" s="20"/>
      <x:c r="D1" s="20"/>
    </x:row>
    <x:row r="2">
      <x:c r="A2" s="21" t="str">
        <x:v>Anthropic Financial Overview / 財務概要</x:v>
      </x:c>
      <x:c r="B2" s="20"/>
      <x:c r="C2" s="20"/>
      <x:c r="D2" s="20"/>
    </x:row>
    <x:row r="3">
      <x:c r="A3" s="3" t="str">
        <x:v>H1 2026 (unaudited), USD millions / 上半期・未監査</x:v>
      </x:c>
      <x:c r="B3" s="20"/>
      <x:c r="C3" s="20"/>
      <x:c r="D3" s="20"/>
    </x:row>
    <x:row r="4">
      <x:c r="A4" s="20"/>
      <x:c r="B4" s="20"/>
      <x:c r="C4" s="20"/>
      <x:c r="D4" s="20"/>
    </x:row>
    <x:row r="5">
      <x:c r="A5" s="23" t="str">
        <x:v>Key metric / 主要指標</x:v>
      </x:c>
      <x:c r="B5" s="23" t="str">
        <x:v>Value / 金額</x:v>
      </x:c>
      <x:c r="C5" s="20"/>
      <x:c r="D5" s="20"/>
    </x:row>
    <x:row r="6">
      <x:c r="A6" s="20" t="str">
        <x:v>Revenue / 売上高</x:v>
      </x:c>
      <x:c r="B6" s="24" t="n">
        <x:f>'損益計算書'!F6</x:f>
        <x:v>16286</x:v>
      </x:c>
      <x:c r="C6" s="20"/>
      <x:c r="D6" s="20"/>
    </x:row>
    <x:row r="7">
      <x:c r="A7" s="20" t="str">
        <x:v>Revenue growth YoY / 売上高成長率</x:v>
      </x:c>
      <x:c r="B7" s="25" t="n">
        <x:f>'損益計算書'!F6/'損益計算書'!E6-1</x:f>
        <x:v>13.003439380911436</x:v>
      </x:c>
      <x:c r="C7" s="20"/>
      <x:c r="D7" s="20"/>
    </x:row>
    <x:row r="8">
      <x:c r="A8" s="20" t="str">
        <x:v>Operating loss / 営業損益</x:v>
      </x:c>
      <x:c r="B8" s="24" t="n">
        <x:f>'損益計算書'!F14</x:f>
        <x:v>-693</x:v>
      </x:c>
      <x:c r="C8" s="20"/>
      <x:c r="D8" s="20"/>
    </x:row>
    <x:row r="9">
      <x:c r="A9" s="26" t="str">
        <x:v>Net loss / 純損益</x:v>
      </x:c>
      <x:c r="B9" s="27" t="n">
        <x:f>'損益計算書'!F22</x:f>
        <x:v>-80748</x:v>
      </x:c>
      <x:c r="C9" s="20"/>
      <x:c r="D9" s="20"/>
    </x:row>
    <x:row r="10">
      <x:c r="A10" s="20" t="str">
        <x:v>Fair-value loss / 転換証券等評価損</x:v>
      </x:c>
      <x:c r="B10" s="24" t="n">
        <x:f>'損益計算書'!F17</x:f>
        <x:v>-72388</x:v>
      </x:c>
      <x:c r="C10" s="20"/>
      <x:c r="D10" s="20"/>
    </x:row>
    <x:row r="11">
      <x:c r="A11" s="20" t="str">
        <x:v>Operating cash flow / 営業CF</x:v>
      </x:c>
      <x:c r="B11" s="24" t="n">
        <x:f>'キャッシュフロー'!F11</x:f>
        <x:v>3929</x:v>
      </x:c>
      <x:c r="C11" s="20"/>
      <x:c r="D11" s="20"/>
    </x:row>
    <x:row r="12">
      <x:c r="A12" s="26" t="str">
        <x:v>Cash &amp; investments / 現金・短期投資</x:v>
      </x:c>
      <x:c r="B12" s="27" t="n">
        <x:f>'貸借対照表'!D7+'貸借対照表'!D8</x:f>
        <x:v>131651</x:v>
      </x:c>
      <x:c r="C12" s="20"/>
      <x:c r="D12" s="20"/>
    </x:row>
    <x:row r="13">
      <x:c r="A13" s="20" t="str">
        <x:v>Fair-value loss share / 評価損の割合</x:v>
      </x:c>
      <x:c r="B13" s="25" t="n">
        <x:f>'損益計算書'!F17/'損益計算書'!F22</x:f>
        <x:v>0.896468023975826</x:v>
      </x:c>
      <x:c r="C13" s="20"/>
      <x:c r="D13" s="20"/>
    </x:row>
    <x:row r="14">
      <x:c r="A14" s="20" t="str">
        <x:v>BS reconciliation / 貸借一致差額</x:v>
      </x:c>
      <x:c r="B14" s="24" t="n">
        <x:f>'貸借対照表'!D38</x:f>
        <x:v>0</x:v>
      </x:c>
      <x:c r="C14" s="20"/>
      <x:c r="D14" s="20"/>
    </x:row>
    <x:row r="15">
      <x:c r="A15" s="20" t="str">
        <x:v>CF to BS cash check / 現金残高照合</x:v>
      </x:c>
      <x:c r="B15" s="24" t="n">
        <x:f>'キャッシュフロー'!F27-'貸借対照表'!D7-'貸借対照表'!D12</x:f>
        <x:v>0</x:v>
      </x:c>
      <x:c r="C15" s="20"/>
      <x:c r="D15" s="20"/>
    </x:row>
    <x:row r="16">
      <x:c r="A16" s="20"/>
      <x:c r="B16" s="20"/>
      <x:c r="C16" s="20"/>
      <x:c r="D16" s="20"/>
    </x:row>
    <x:row r="17">
      <x:c r="A17" t="str">
        <x:v>SEC filing: https://www.sec.gov/Archives/edgar/data/2130357/000162828026067168/anthropicpbc-sx1.htm</x:v>
      </x:c>
    </x:row>
    <x:row r="18">
      <x:c r="A18" t="str">
        <x:v>Net loss includes large noncash fair-value charges. / 純損失に非現金評価損を含む。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94D2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Anthropic Income Statement / 連結損益・包括損益計算書</x:v>
      </x:c>
      <x:c r="B2" s="1"/>
      <x:c r="C2" s="1"/>
      <x:c r="D2" s="1"/>
      <x:c r="E2" s="1"/>
      <x:c r="F2" s="1"/>
    </x:row>
    <x:row r="3">
      <x:c r="A3" s="3" t="str">
        <x:v>USD millions / 百万米ドル（損失はマイナス表示）</x:v>
      </x:c>
      <x:c r="B3" s="1"/>
      <x:c r="C3" s="1"/>
      <x:c r="D3" s="1"/>
      <x:c r="E3" s="1"/>
      <x:c r="F3" s="1"/>
    </x:row>
    <x:row r="4">
      <x:c r="A4" s="4" t="str">
        <x:v>出典：SEC Form S-1（2026年10月26日提出） https://www.sec.gov/Archives/edgar/data/2130357/000162828026067168/anthropicpbc-sx1.htm</x:v>
      </x:c>
      <x:c r="B4" s="1"/>
      <x:c r="C4" s="1"/>
      <x:c r="D4" s="1"/>
      <x:c r="E4" s="1"/>
      <x:c r="F4" s="1"/>
    </x:row>
    <x:row r="5" ht="28" customHeight="1">
      <x:c r="A5" s="6" t="str">
        <x:v>Item / 項目</x:v>
      </x:c>
      <x:c r="B5" s="7" t="str">
        <x:v>2023</x:v>
      </x:c>
      <x:c r="C5" s="7" t="str">
        <x:v>2024</x:v>
      </x:c>
      <x:c r="D5" s="7" t="str">
        <x:v>2025</x:v>
      </x:c>
      <x:c r="E5" s="7" t="str">
        <x:v>H1 2025</x:v>
      </x:c>
      <x:c r="F5" s="7" t="str">
        <x:v>H1 2026</x:v>
      </x:c>
    </x:row>
    <x:row r="6">
      <x:c r="A6" s="18" t="str">
        <x:v>Revenue / 売上高</x:v>
      </x:c>
      <x:c r="B6" s="19" t="n">
        <x:v>41</x:v>
      </x:c>
      <x:c r="C6" s="19" t="n">
        <x:v>386</x:v>
      </x:c>
      <x:c r="D6" s="19" t="n">
        <x:v>4585</x:v>
      </x:c>
      <x:c r="E6" s="19" t="n">
        <x:v>1163</x:v>
      </x:c>
      <x:c r="F6" s="19" t="n">
        <x:v>16286</x:v>
      </x:c>
    </x:row>
    <x:row r="7">
      <x:c r="A7" s="12" t="str">
        <x:v>Operating expenses / 営業費用</x:v>
      </x:c>
      <x:c r="B7" s="13"/>
      <x:c r="C7" s="13"/>
      <x:c r="D7" s="13"/>
      <x:c r="E7" s="13"/>
      <x:c r="F7" s="13"/>
    </x:row>
    <x:row r="8">
      <x:c r="A8" s="1" t="str">
        <x:v>Compute &amp; infrastructure / 計算資源費用</x:v>
      </x:c>
      <x:c r="B8" s="9" t="n">
        <x:v>433</x:v>
      </x:c>
      <x:c r="C8" s="9" t="n">
        <x:v>2522</x:v>
      </x:c>
      <x:c r="D8" s="9" t="n">
        <x:v>7326</x:v>
      </x:c>
      <x:c r="E8" s="9" t="n">
        <x:v>2334</x:v>
      </x:c>
      <x:c r="F8" s="9" t="n">
        <x:v>8945</x:v>
      </x:c>
    </x:row>
    <x:row r="9">
      <x:c r="A9" s="1" t="str">
        <x:v>Personnel / 人件費</x:v>
      </x:c>
      <x:c r="B9" s="9" t="n">
        <x:v>95</x:v>
      </x:c>
      <x:c r="C9" s="9" t="n">
        <x:v>454</x:v>
      </x:c>
      <x:c r="D9" s="9" t="n">
        <x:v>1839</x:v>
      </x:c>
      <x:c r="E9" s="9" t="n">
        <x:v>538</x:v>
      </x:c>
      <x:c r="F9" s="9" t="n">
        <x:v>3152</x:v>
      </x:c>
    </x:row>
    <x:row r="10">
      <x:c r="A10" s="1" t="str">
        <x:v>Bartz settlement / 著作権訴訟和解金</x:v>
      </x:c>
      <x:c r="B10" s="9" t="n">
        <x:v>0</x:v>
      </x:c>
      <x:c r="C10" s="9" t="n">
        <x:v>0</x:v>
      </x:c>
      <x:c r="D10" s="9" t="n">
        <x:v>1500</x:v>
      </x:c>
      <x:c r="E10" s="9" t="n">
        <x:v>0</x:v>
      </x:c>
      <x:c r="F10" s="9" t="n">
        <x:v>0</x:v>
      </x:c>
    </x:row>
    <x:row r="11">
      <x:c r="A11" s="1" t="str">
        <x:v>Sales, marketing, partnerships / 販売費用</x:v>
      </x:c>
      <x:c r="B11" s="9" t="n">
        <x:v>2</x:v>
      </x:c>
      <x:c r="C11" s="9" t="n">
        <x:v>43</x:v>
      </x:c>
      <x:c r="D11" s="9" t="n">
        <x:v>568</x:v>
      </x:c>
      <x:c r="E11" s="9" t="n">
        <x:v>120</x:v>
      </x:c>
      <x:c r="F11" s="9" t="n">
        <x:v>3168</x:v>
      </x:c>
    </x:row>
    <x:row r="12">
      <x:c r="A12" s="1" t="str">
        <x:v>Other operating &amp; admin / その他営業費用</x:v>
      </x:c>
      <x:c r="B12" s="9" t="n">
        <x:v>62</x:v>
      </x:c>
      <x:c r="C12" s="9" t="n">
        <x:v>347</x:v>
      </x:c>
      <x:c r="D12" s="9" t="n">
        <x:v>1412</x:v>
      </x:c>
      <x:c r="E12" s="9" t="n">
        <x:v>306</x:v>
      </x:c>
      <x:c r="F12" s="9" t="n">
        <x:v>1714</x:v>
      </x:c>
    </x:row>
    <x:row r="13">
      <x:c r="A13" s="18" t="str">
        <x:v>Total operating expenses / 営業費用合計</x:v>
      </x:c>
      <x:c r="B13" s="19" t="n">
        <x:v>592</x:v>
      </x:c>
      <x:c r="C13" s="19" t="n">
        <x:v>3366</x:v>
      </x:c>
      <x:c r="D13" s="19" t="n">
        <x:v>12645</x:v>
      </x:c>
      <x:c r="E13" s="19" t="n">
        <x:v>3298</x:v>
      </x:c>
      <x:c r="F13" s="19" t="n">
        <x:v>16979</x:v>
      </x:c>
    </x:row>
    <x:row r="14">
      <x:c r="A14" s="18" t="str">
        <x:v>Operating loss / 営業損益</x:v>
      </x:c>
      <x:c r="B14" s="19" t="n">
        <x:v>-551</x:v>
      </x:c>
      <x:c r="C14" s="19" t="n">
        <x:v>-2980</x:v>
      </x:c>
      <x:c r="D14" s="19" t="n">
        <x:v>-8060</x:v>
      </x:c>
      <x:c r="E14" s="19" t="n">
        <x:v>-2135</x:v>
      </x:c>
      <x:c r="F14" s="19" t="n">
        <x:v>-693</x:v>
      </x:c>
    </x:row>
    <x:row r="15">
      <x:c r="A15" s="1"/>
      <x:c r="B15" s="9"/>
      <x:c r="C15" s="9"/>
      <x:c r="D15" s="9"/>
      <x:c r="E15" s="9"/>
      <x:c r="F15" s="9"/>
    </x:row>
    <x:row r="16">
      <x:c r="A16" s="1" t="str">
        <x:v>Interest income / 受取利息</x:v>
      </x:c>
      <x:c r="B16" s="9" t="n">
        <x:v>69</x:v>
      </x:c>
      <x:c r="C16" s="9" t="n">
        <x:v>106</x:v>
      </x:c>
      <x:c r="D16" s="9" t="n">
        <x:v>431</x:v>
      </x:c>
      <x:c r="E16" s="9" t="n">
        <x:v>115</x:v>
      </x:c>
      <x:c r="F16" s="9" t="n">
        <x:v>1111</x:v>
      </x:c>
    </x:row>
    <x:row r="17">
      <x:c r="A17" s="1" t="str">
        <x:v>Fair-value loss on notes etc. / 評価損</x:v>
      </x:c>
      <x:c r="B17" s="9" t="n">
        <x:v>-1045</x:v>
      </x:c>
      <x:c r="C17" s="9" t="n">
        <x:v>-5434</x:v>
      </x:c>
      <x:c r="D17" s="9" t="n">
        <x:v>-34308</x:v>
      </x:c>
      <x:c r="E17" s="9" t="n">
        <x:v>-10942</x:v>
      </x:c>
      <x:c r="F17" s="9" t="n">
        <x:v>-72388</x:v>
      </x:c>
    </x:row>
    <x:row r="18">
      <x:c r="A18" s="1" t="str">
        <x:v>Other non-operating / その他営業外損益</x:v>
      </x:c>
      <x:c r="B18" s="9" t="n">
        <x:v>-2</x:v>
      </x:c>
      <x:c r="C18" s="9" t="n">
        <x:v>0</x:v>
      </x:c>
      <x:c r="D18" s="9" t="n">
        <x:v>-8</x:v>
      </x:c>
      <x:c r="E18" s="9" t="n">
        <x:v>0</x:v>
      </x:c>
      <x:c r="F18" s="9" t="n">
        <x:v>-8757</x:v>
      </x:c>
    </x:row>
    <x:row r="19">
      <x:c r="A19" s="18" t="str">
        <x:v>Total other income (expense) / 営業外合計</x:v>
      </x:c>
      <x:c r="B19" s="19" t="n">
        <x:v>-978</x:v>
      </x:c>
      <x:c r="C19" s="19" t="n">
        <x:v>-5328</x:v>
      </x:c>
      <x:c r="D19" s="19" t="n">
        <x:v>-33885</x:v>
      </x:c>
      <x:c r="E19" s="19" t="n">
        <x:v>-10827</x:v>
      </x:c>
      <x:c r="F19" s="19" t="n">
        <x:v>-80034</x:v>
      </x:c>
    </x:row>
    <x:row r="20">
      <x:c r="A20" s="18" t="str">
        <x:v>Loss before taxes / 税引前損益</x:v>
      </x:c>
      <x:c r="B20" s="19" t="n">
        <x:v>-1529</x:v>
      </x:c>
      <x:c r="C20" s="19" t="n">
        <x:v>-8308</x:v>
      </x:c>
      <x:c r="D20" s="19" t="n">
        <x:v>-41945</x:v>
      </x:c>
      <x:c r="E20" s="19" t="n">
        <x:v>-12962</x:v>
      </x:c>
      <x:c r="F20" s="19" t="n">
        <x:v>-80727</x:v>
      </x:c>
    </x:row>
    <x:row r="21">
      <x:c r="A21" s="1" t="str">
        <x:v>Income tax / 法人税等</x:v>
      </x:c>
      <x:c r="B21" s="9" t="n">
        <x:v>2</x:v>
      </x:c>
      <x:c r="C21" s="9" t="n">
        <x:v>1</x:v>
      </x:c>
      <x:c r="D21" s="9" t="n">
        <x:v>20</x:v>
      </x:c>
      <x:c r="E21" s="9" t="n">
        <x:v>7</x:v>
      </x:c>
      <x:c r="F21" s="9" t="n">
        <x:v>21</x:v>
      </x:c>
    </x:row>
    <x:row r="22">
      <x:c r="A22" s="18" t="str">
        <x:v>Net loss / 純損益</x:v>
      </x:c>
      <x:c r="B22" s="19" t="n">
        <x:v>-1531</x:v>
      </x:c>
      <x:c r="C22" s="19" t="n">
        <x:v>-8309</x:v>
      </x:c>
      <x:c r="D22" s="19" t="n">
        <x:v>-41965</x:v>
      </x:c>
      <x:c r="E22" s="19" t="n">
        <x:v>-12969</x:v>
      </x:c>
      <x:c r="F22" s="19" t="n">
        <x:v>-80748</x:v>
      </x:c>
    </x:row>
    <x:row r="23">
      <x:c r="A23" s="1"/>
      <x:c r="B23" s="9"/>
      <x:c r="C23" s="9"/>
      <x:c r="D23" s="9"/>
      <x:c r="E23" s="9"/>
      <x:c r="F23" s="9"/>
    </x:row>
    <x:row r="24">
      <x:c r="A24" s="12" t="str">
        <x:v>Other comprehensive income / その他包括損益</x:v>
      </x:c>
      <x:c r="B24" s="13"/>
      <x:c r="C24" s="13"/>
      <x:c r="D24" s="13"/>
      <x:c r="E24" s="13"/>
      <x:c r="F24" s="13"/>
    </x:row>
    <x:row r="25">
      <x:c r="A25" s="1" t="str">
        <x:v>Unrealized securities gain/loss / 有価証券</x:v>
      </x:c>
      <x:c r="B25" s="9" t="n">
        <x:v>0</x:v>
      </x:c>
      <x:c r="C25" s="9" t="n">
        <x:v>0</x:v>
      </x:c>
      <x:c r="D25" s="9" t="n">
        <x:v>4</x:v>
      </x:c>
      <x:c r="E25" s="9" t="n">
        <x:v>0</x:v>
      </x:c>
      <x:c r="F25" s="9" t="n">
        <x:v>-49</x:v>
      </x:c>
    </x:row>
    <x:row r="26">
      <x:c r="A26" s="1" t="str">
        <x:v>Currency translation / 為替換算調整額</x:v>
      </x:c>
      <x:c r="B26" s="9" t="n">
        <x:v>0</x:v>
      </x:c>
      <x:c r="C26" s="9" t="n">
        <x:v>0</x:v>
      </x:c>
      <x:c r="D26" s="9" t="n">
        <x:v>1</x:v>
      </x:c>
      <x:c r="E26" s="9" t="n">
        <x:v>1</x:v>
      </x:c>
      <x:c r="F26" s="9" t="n">
        <x:v>-9</x:v>
      </x:c>
    </x:row>
    <x:row r="27">
      <x:c r="A27" s="18" t="str">
        <x:v>Total other comprehensive income / 包括損益</x:v>
      </x:c>
      <x:c r="B27" s="19" t="n">
        <x:v>0</x:v>
      </x:c>
      <x:c r="C27" s="19" t="n">
        <x:v>0</x:v>
      </x:c>
      <x:c r="D27" s="19" t="n">
        <x:v>5</x:v>
      </x:c>
      <x:c r="E27" s="19" t="n">
        <x:v>1</x:v>
      </x:c>
      <x:c r="F27" s="19" t="n">
        <x:v>-58</x:v>
      </x:c>
    </x:row>
    <x:row r="28">
      <x:c r="A28" s="18" t="str">
        <x:v>Comprehensive loss / 包括損失</x:v>
      </x:c>
      <x:c r="B28" s="19" t="n">
        <x:v>-1531</x:v>
      </x:c>
      <x:c r="C28" s="19" t="n">
        <x:v>-8309</x:v>
      </x:c>
      <x:c r="D28" s="19" t="n">
        <x:v>-41960</x:v>
      </x:c>
      <x:c r="E28" s="19" t="n">
        <x:v>-12968</x:v>
      </x:c>
      <x:c r="F28" s="19" t="n">
        <x:v>-80806</x:v>
      </x:c>
    </x:row>
    <x:row r="29">
      <x:c r="A29" s="1"/>
      <x:c r="B29" s="9"/>
      <x:c r="C29" s="9"/>
      <x:c r="D29" s="9"/>
      <x:c r="E29" s="9"/>
      <x:c r="F29" s="9"/>
    </x:row>
    <x:row r="30">
      <x:c r="A30" s="1" t="str">
        <x:v>H1 2025 and H1 2026 are unaudited. / 上半期数値は未監査。</x:v>
      </x:c>
      <x:c r="B30" s="9"/>
      <x:c r="C30" s="9"/>
      <x:c r="D30" s="9"/>
      <x:c r="E30" s="9"/>
      <x:c r="F30" s="9"/>
    </x:row>
    <x:row r="31">
      <x:c r="A31" s="1"/>
      <x:c r="B31" s="9"/>
      <x:c r="C31" s="9"/>
      <x:c r="D31" s="9"/>
      <x:c r="E31" s="9"/>
      <x:c r="F31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4" hidden="0" customWidth="1"/>
    <x:col min="2" max="2" width="17" hidden="0" customWidth="1"/>
    <x:col min="3" max="3" width="17" hidden="0" customWidth="1"/>
    <x:col min="4" max="4" width="17" hidden="0" customWidth="1"/>
  </x:cols>
  <x:sheetData>
    <x:row r="1">
      <x:c r="A1" s="1"/>
      <x:c r="B1" s="1"/>
      <x:c r="C1" s="1"/>
      <x:c r="D1" s="1"/>
    </x:row>
    <x:row r="2">
      <x:c r="A2" s="2" t="str">
        <x:v>Anthropic Balance Sheet / 連結貸借対照表</x:v>
      </x:c>
      <x:c r="B2" s="1"/>
      <x:c r="C2" s="1"/>
      <x:c r="D2" s="1"/>
    </x:row>
    <x:row r="3">
      <x:c r="A3" s="3" t="str">
        <x:v>USD millions / 百万米ドル（損失はマイナス表示）</x:v>
      </x:c>
      <x:c r="B3" s="1"/>
      <x:c r="C3" s="1"/>
      <x:c r="D3" s="1"/>
    </x:row>
    <x:row r="4">
      <x:c r="A4" s="4" t="str">
        <x:v>出典：SEC Form S-1（2026年10月26日提出） https://www.sec.gov/Archives/edgar/data/2130357/000162828026067168/anthropicpbc-sx1.htm</x:v>
      </x:c>
      <x:c r="B4" s="1"/>
      <x:c r="C4" s="1"/>
      <x:c r="D4" s="1"/>
    </x:row>
    <x:row r="5" ht="28" customHeight="1">
      <x:c r="A5" s="6" t="str">
        <x:v>Item / 項目</x:v>
      </x:c>
      <x:c r="B5" s="7" t="str">
        <x:v>Dec 2024</x:v>
      </x:c>
      <x:c r="C5" s="7" t="str">
        <x:v>Dec 2025</x:v>
      </x:c>
      <x:c r="D5" s="7" t="str">
        <x:v>Jun 2026</x:v>
      </x:c>
    </x:row>
    <x:row r="6">
      <x:c r="A6" s="12" t="str">
        <x:v>Assets / 資産</x:v>
      </x:c>
      <x:c r="B6" s="13"/>
      <x:c r="C6" s="13"/>
      <x:c r="D6" s="13"/>
    </x:row>
    <x:row r="7">
      <x:c r="A7" s="1" t="str">
        <x:v>Cash &amp; equivalents / 現金・現金同等物</x:v>
      </x:c>
      <x:c r="B7" s="9" t="n">
        <x:v>3141</x:v>
      </x:c>
      <x:c r="C7" s="9" t="n">
        <x:v>17388</x:v>
      </x:c>
      <x:c r="D7" s="9" t="n">
        <x:v>112389</x:v>
      </x:c>
    </x:row>
    <x:row r="8">
      <x:c r="A8" s="1" t="str">
        <x:v>Short-term investments / 短期投資</x:v>
      </x:c>
      <x:c r="B8" s="9" t="n">
        <x:v>0</x:v>
      </x:c>
      <x:c r="C8" s="9" t="n">
        <x:v>2889</x:v>
      </x:c>
      <x:c r="D8" s="9" t="n">
        <x:v>19262</x:v>
      </x:c>
    </x:row>
    <x:row r="9">
      <x:c r="A9" s="1" t="str">
        <x:v>Accounts receivable / 売掛金</x:v>
      </x:c>
      <x:c r="B9" s="9" t="n">
        <x:v>95</x:v>
      </x:c>
      <x:c r="C9" s="9" t="n">
        <x:v>909</x:v>
      </x:c>
      <x:c r="D9" s="9" t="n">
        <x:v>5833</x:v>
      </x:c>
    </x:row>
    <x:row r="10">
      <x:c r="A10" s="1" t="str">
        <x:v>Prepaid &amp; other current / 前払費用等</x:v>
      </x:c>
      <x:c r="B10" s="9" t="n">
        <x:v>2076</x:v>
      </x:c>
      <x:c r="C10" s="9" t="n">
        <x:v>2560</x:v>
      </x:c>
      <x:c r="D10" s="9" t="n">
        <x:v>496</x:v>
      </x:c>
    </x:row>
    <x:row r="11">
      <x:c r="A11" s="18" t="str">
        <x:v>Total current assets / 流動資産合計</x:v>
      </x:c>
      <x:c r="B11" s="19" t="n">
        <x:v>5312</x:v>
      </x:c>
      <x:c r="C11" s="19" t="n">
        <x:v>23746</x:v>
      </x:c>
      <x:c r="D11" s="19" t="n">
        <x:v>137980</x:v>
      </x:c>
    </x:row>
    <x:row r="12">
      <x:c r="A12" s="1" t="str">
        <x:v>Restricted cash / 制限付現金</x:v>
      </x:c>
      <x:c r="B12" s="9" t="n">
        <x:v>13</x:v>
      </x:c>
      <x:c r="C12" s="9" t="n">
        <x:v>13</x:v>
      </x:c>
      <x:c r="D12" s="9" t="n">
        <x:v>2529</x:v>
      </x:c>
    </x:row>
    <x:row r="13">
      <x:c r="A13" s="1" t="str">
        <x:v>Property &amp; equipment / 有形固定資産</x:v>
      </x:c>
      <x:c r="B13" s="9" t="n">
        <x:v>19</x:v>
      </x:c>
      <x:c r="C13" s="9" t="n">
        <x:v>146</x:v>
      </x:c>
      <x:c r="D13" s="9" t="n">
        <x:v>1187</x:v>
      </x:c>
    </x:row>
    <x:row r="14">
      <x:c r="A14" s="1" t="str">
        <x:v>Lease right-of-use assets / 使用権資産</x:v>
      </x:c>
      <x:c r="B14" s="9" t="n">
        <x:v>35</x:v>
      </x:c>
      <x:c r="C14" s="9" t="n">
        <x:v>126</x:v>
      </x:c>
      <x:c r="D14" s="9" t="n">
        <x:v>1157</x:v>
      </x:c>
    </x:row>
    <x:row r="15">
      <x:c r="A15" s="1" t="str">
        <x:v>Goodwill / のれん</x:v>
      </x:c>
      <x:c r="B15" s="9" t="n">
        <x:v>0</x:v>
      </x:c>
      <x:c r="C15" s="9" t="n">
        <x:v>154</x:v>
      </x:c>
      <x:c r="D15" s="9" t="n">
        <x:v>576</x:v>
      </x:c>
    </x:row>
    <x:row r="16">
      <x:c r="A16" s="1" t="str">
        <x:v>Other noncurrent assets / その他資産</x:v>
      </x:c>
      <x:c r="B16" s="9" t="n">
        <x:v>2373</x:v>
      </x:c>
      <x:c r="C16" s="9" t="n">
        <x:v>476</x:v>
      </x:c>
      <x:c r="D16" s="9" t="n">
        <x:v>3929</x:v>
      </x:c>
    </x:row>
    <x:row r="17">
      <x:c r="A17" s="18" t="str">
        <x:v>Total assets / 資産合計</x:v>
      </x:c>
      <x:c r="B17" s="19" t="n">
        <x:v>7752</x:v>
      </x:c>
      <x:c r="C17" s="19" t="n">
        <x:v>24661</x:v>
      </x:c>
      <x:c r="D17" s="19" t="n">
        <x:v>147358</x:v>
      </x:c>
    </x:row>
    <x:row r="18">
      <x:c r="A18" s="1"/>
      <x:c r="B18" s="9"/>
      <x:c r="C18" s="9"/>
      <x:c r="D18" s="9"/>
    </x:row>
    <x:row r="19">
      <x:c r="A19" s="12" t="str">
        <x:v>Liabilities / 負債</x:v>
      </x:c>
      <x:c r="B19" s="13"/>
      <x:c r="C19" s="13"/>
      <x:c r="D19" s="13"/>
    </x:row>
    <x:row r="20">
      <x:c r="A20" s="1" t="str">
        <x:v>Accounts payable &amp; accrued / 未払費用等</x:v>
      </x:c>
      <x:c r="B20" s="9" t="n">
        <x:v>333</x:v>
      </x:c>
      <x:c r="C20" s="9" t="n">
        <x:v>2511</x:v>
      </x:c>
      <x:c r="D20" s="9" t="n">
        <x:v>5422</x:v>
      </x:c>
    </x:row>
    <x:row r="21">
      <x:c r="A21" s="1" t="str">
        <x:v>Current lease liabilities / 流動リース負債</x:v>
      </x:c>
      <x:c r="B21" s="9" t="n">
        <x:v>13</x:v>
      </x:c>
      <x:c r="C21" s="9" t="n">
        <x:v>37</x:v>
      </x:c>
      <x:c r="D21" s="9" t="n">
        <x:v>148</x:v>
      </x:c>
    </x:row>
    <x:row r="22">
      <x:c r="A22" s="1" t="str">
        <x:v>Deferred revenue / 繰延収益</x:v>
      </x:c>
      <x:c r="B22" s="9" t="n">
        <x:v>28</x:v>
      </x:c>
      <x:c r="C22" s="9" t="n">
        <x:v>269</x:v>
      </x:c>
      <x:c r="D22" s="9" t="n">
        <x:v>1650</x:v>
      </x:c>
    </x:row>
    <x:row r="23">
      <x:c r="A23" s="18" t="str">
        <x:v>Total current liabilities / 流動負債合計</x:v>
      </x:c>
      <x:c r="B23" s="19" t="n">
        <x:v>374</x:v>
      </x:c>
      <x:c r="C23" s="19" t="n">
        <x:v>2817</x:v>
      </x:c>
      <x:c r="D23" s="19" t="n">
        <x:v>7220</x:v>
      </x:c>
    </x:row>
    <x:row r="24">
      <x:c r="A24" s="1" t="str">
        <x:v>Noncurrent lease liabilities / 長期リース負債</x:v>
      </x:c>
      <x:c r="B24" s="9" t="n">
        <x:v>39</x:v>
      </x:c>
      <x:c r="C24" s="9" t="n">
        <x:v>80</x:v>
      </x:c>
      <x:c r="D24" s="9" t="n">
        <x:v>931</x:v>
      </x:c>
    </x:row>
    <x:row r="25">
      <x:c r="A25" s="1" t="str">
        <x:v>Convertible notes / 転換社債等</x:v>
      </x:c>
      <x:c r="B25" s="9" t="n">
        <x:v>14116</x:v>
      </x:c>
      <x:c r="C25" s="9" t="n">
        <x:v>41677</x:v>
      </x:c>
      <x:c r="D25" s="9" t="n">
        <x:v>108566</x:v>
      </x:c>
    </x:row>
    <x:row r="26">
      <x:c r="A26" s="1" t="str">
        <x:v>Other noncurrent liabilities / その他負債</x:v>
      </x:c>
      <x:c r="B26" s="9" t="n">
        <x:v>150</x:v>
      </x:c>
      <x:c r="C26" s="9" t="n">
        <x:v>823</x:v>
      </x:c>
      <x:c r="D26" s="9" t="n">
        <x:v>750</x:v>
      </x:c>
    </x:row>
    <x:row r="27">
      <x:c r="A27" s="18" t="str">
        <x:v>Total liabilities / 負債合計</x:v>
      </x:c>
      <x:c r="B27" s="19" t="n">
        <x:v>14679</x:v>
      </x:c>
      <x:c r="C27" s="19" t="n">
        <x:v>45397</x:v>
      </x:c>
      <x:c r="D27" s="19" t="n">
        <x:v>117467</x:v>
      </x:c>
    </x:row>
    <x:row r="28">
      <x:c r="A28" s="1"/>
      <x:c r="B28" s="9"/>
      <x:c r="C28" s="9"/>
      <x:c r="D28" s="9"/>
    </x:row>
    <x:row r="29">
      <x:c r="A29" s="18" t="str">
        <x:v>Redeemable convertible preferred / 転換優先株</x:v>
      </x:c>
      <x:c r="B29" s="19" t="n">
        <x:v>2874</x:v>
      </x:c>
      <x:c r="C29" s="19" t="n">
        <x:v>29769</x:v>
      </x:c>
      <x:c r="D29" s="19" t="n">
        <x:v>157510</x:v>
      </x:c>
    </x:row>
    <x:row r="30">
      <x:c r="A30" s="1"/>
      <x:c r="B30" s="9"/>
      <x:c r="C30" s="9"/>
      <x:c r="D30" s="9"/>
    </x:row>
    <x:row r="31">
      <x:c r="A31" s="12" t="str">
        <x:v>Stockholders deficit / 株主資本（欠損）</x:v>
      </x:c>
      <x:c r="B31" s="13"/>
      <x:c r="C31" s="13"/>
      <x:c r="D31" s="13"/>
    </x:row>
    <x:row r="32">
      <x:c r="A32" s="1" t="str">
        <x:v>Additional paid-in capital / 資本剰余金</x:v>
      </x:c>
      <x:c r="B32" s="9" t="n">
        <x:v>239</x:v>
      </x:c>
      <x:c r="C32" s="9" t="n">
        <x:v>1644</x:v>
      </x:c>
      <x:c r="D32" s="9" t="n">
        <x:v>5336</x:v>
      </x:c>
    </x:row>
    <x:row r="33">
      <x:c r="A33" s="1" t="str">
        <x:v>Accumulated OCI / その他包括利益累計額</x:v>
      </x:c>
      <x:c r="B33" s="9" t="n">
        <x:v>0</x:v>
      </x:c>
      <x:c r="C33" s="9" t="n">
        <x:v>5</x:v>
      </x:c>
      <x:c r="D33" s="9" t="n">
        <x:v>-53</x:v>
      </x:c>
    </x:row>
    <x:row r="34">
      <x:c r="A34" s="1" t="str">
        <x:v>Accumulated deficit / 累積欠損</x:v>
      </x:c>
      <x:c r="B34" s="9" t="n">
        <x:v>-10040</x:v>
      </x:c>
      <x:c r="C34" s="9" t="n">
        <x:v>-52154</x:v>
      </x:c>
      <x:c r="D34" s="9" t="n">
        <x:v>-132902</x:v>
      </x:c>
    </x:row>
    <x:row r="35">
      <x:c r="A35" s="18" t="str">
        <x:v>Total stockholders deficit / 株主資本合計</x:v>
      </x:c>
      <x:c r="B35" s="19" t="n">
        <x:v>-9801</x:v>
      </x:c>
      <x:c r="C35" s="19" t="n">
        <x:v>-50505</x:v>
      </x:c>
      <x:c r="D35" s="19" t="n">
        <x:v>-127619</x:v>
      </x:c>
    </x:row>
    <x:row r="36">
      <x:c r="A36" s="1"/>
      <x:c r="B36" s="9"/>
      <x:c r="C36" s="9"/>
      <x:c r="D36" s="9"/>
    </x:row>
    <x:row r="37">
      <x:c r="A37" s="18" t="str">
        <x:v>Total liabilities, preferred &amp; equity / 合計</x:v>
      </x:c>
      <x:c r="B37" s="19" t="n">
        <x:v>7752</x:v>
      </x:c>
      <x:c r="C37" s="19" t="n">
        <x:v>24661</x:v>
      </x:c>
      <x:c r="D37" s="19" t="n">
        <x:v>147358</x:v>
      </x:c>
    </x:row>
    <x:row r="38">
      <x:c r="A38" s="1" t="str">
        <x:v>Balance sheet check / 貸借一致差額</x:v>
      </x:c>
      <x:c r="B38" s="8" t="n">
        <x:f>B17-B27-B29-B35</x:f>
        <x:v>0</x:v>
      </x:c>
      <x:c r="C38" s="8" t="n">
        <x:f>C17-C27-C29-C35</x:f>
        <x:v>0</x:v>
      </x:c>
      <x:c r="D38" s="8" t="n">
        <x:f>D17-D27-D29-D35</x:f>
        <x:v>0</x:v>
      </x:c>
    </x:row>
    <x:row r="39">
      <x:c r="A39" s="1"/>
      <x:c r="B39" s="9"/>
      <x:c r="C39" s="9"/>
      <x:c r="D39" s="9"/>
    </x:row>
    <x:row r="40">
      <x:c r="A40" s="1" t="str">
        <x:v>Jun 2026 is unaudited; redeemable preferred is mezzanine equity. / 未監査、中間区分。</x:v>
      </x:c>
      <x:c r="B40" s="9"/>
      <x:c r="C40" s="9"/>
      <x:c r="D40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Anthropic Cash Flows / 連結キャッシュフロー（主要項目）</x:v>
      </x:c>
      <x:c r="B2" s="1"/>
      <x:c r="C2" s="1"/>
      <x:c r="D2" s="1"/>
      <x:c r="E2" s="1"/>
      <x:c r="F2" s="1"/>
    </x:row>
    <x:row r="3">
      <x:c r="A3" s="3" t="str">
        <x:v>USD millions / 百万米ドル（損失はマイナス表示）</x:v>
      </x:c>
      <x:c r="B3" s="1"/>
      <x:c r="C3" s="1"/>
      <x:c r="D3" s="1"/>
      <x:c r="E3" s="1"/>
      <x:c r="F3" s="1"/>
    </x:row>
    <x:row r="4">
      <x:c r="A4" s="4" t="str">
        <x:v>出典：SEC Form S-1（2026年10月26日提出） https://www.sec.gov/Archives/edgar/data/2130357/000162828026067168/anthropicpbc-sx1.htm</x:v>
      </x:c>
      <x:c r="B4" s="1"/>
      <x:c r="C4" s="1"/>
      <x:c r="D4" s="1"/>
      <x:c r="E4" s="1"/>
      <x:c r="F4" s="1"/>
    </x:row>
    <x:row r="5" ht="28" customHeight="1">
      <x:c r="A5" s="6" t="str">
        <x:v>Item / 項目</x:v>
      </x:c>
      <x:c r="B5" s="7" t="str">
        <x:v>2023</x:v>
      </x:c>
      <x:c r="C5" s="7" t="str">
        <x:v>2024</x:v>
      </x:c>
      <x:c r="D5" s="7" t="str">
        <x:v>2025</x:v>
      </x:c>
      <x:c r="E5" s="7" t="str">
        <x:v>H1 2025</x:v>
      </x:c>
      <x:c r="F5" s="7" t="str">
        <x:v>H1 2026</x:v>
      </x:c>
    </x:row>
    <x:row r="6">
      <x:c r="A6" s="12" t="str">
        <x:v>Operating activities / 営業活動</x:v>
      </x:c>
      <x:c r="B6" s="13"/>
      <x:c r="C6" s="13"/>
      <x:c r="D6" s="13"/>
      <x:c r="E6" s="13"/>
      <x:c r="F6" s="13"/>
    </x:row>
    <x:row r="7">
      <x:c r="A7" s="1" t="str">
        <x:v>Net loss / 純損益</x:v>
      </x:c>
      <x:c r="B7" s="9" t="n">
        <x:v>-1531</x:v>
      </x:c>
      <x:c r="C7" s="9" t="n">
        <x:v>-8309</x:v>
      </x:c>
      <x:c r="D7" s="9" t="n">
        <x:v>-41965</x:v>
      </x:c>
      <x:c r="E7" s="9" t="n">
        <x:v>-12969</x:v>
      </x:c>
      <x:c r="F7" s="9" t="n">
        <x:v>-80748</x:v>
      </x:c>
    </x:row>
    <x:row r="8">
      <x:c r="A8" s="1" t="str">
        <x:v>Stock compensation / 株式報酬（非現金）</x:v>
      </x:c>
      <x:c r="B8" s="9" t="n">
        <x:v>29</x:v>
      </x:c>
      <x:c r="C8" s="9" t="n">
        <x:v>192</x:v>
      </x:c>
      <x:c r="D8" s="9" t="n">
        <x:v>1158</x:v>
      </x:c>
      <x:c r="E8" s="9" t="n">
        <x:v>279</x:v>
      </x:c>
      <x:c r="F8" s="9" t="n">
        <x:v>2185</x:v>
      </x:c>
    </x:row>
    <x:row r="9">
      <x:c r="A9" s="1" t="str">
        <x:v>Fair-value adjustment / 転換証券等評価調整</x:v>
      </x:c>
      <x:c r="B9" s="9" t="n">
        <x:v>1045</x:v>
      </x:c>
      <x:c r="C9" s="9" t="n">
        <x:v>5434</x:v>
      </x:c>
      <x:c r="D9" s="9" t="n">
        <x:v>34308</x:v>
      </x:c>
      <x:c r="E9" s="9" t="n">
        <x:v>10942</x:v>
      </x:c>
      <x:c r="F9" s="9" t="n">
        <x:v>72388</x:v>
      </x:c>
    </x:row>
    <x:row r="10">
      <x:c r="A10" s="1"/>
      <x:c r="B10" s="9"/>
      <x:c r="C10" s="9"/>
      <x:c r="D10" s="9"/>
      <x:c r="E10" s="9"/>
      <x:c r="F10" s="9"/>
    </x:row>
    <x:row r="11">
      <x:c r="A11" s="18" t="str">
        <x:v>Net cash from operations / 営業CF</x:v>
      </x:c>
      <x:c r="B11" s="19" t="n">
        <x:v>-1627</x:v>
      </x:c>
      <x:c r="C11" s="19" t="n">
        <x:v>-5692</x:v>
      </x:c>
      <x:c r="D11" s="19" t="n">
        <x:v>-2637</x:v>
      </x:c>
      <x:c r="E11" s="19" t="n">
        <x:v>-1513</x:v>
      </x:c>
      <x:c r="F11" s="19" t="n">
        <x:v>3929</x:v>
      </x:c>
    </x:row>
    <x:row r="12">
      <x:c r="A12" s="1"/>
      <x:c r="B12" s="9"/>
      <x:c r="C12" s="9"/>
      <x:c r="D12" s="9"/>
      <x:c r="E12" s="9"/>
      <x:c r="F12" s="9"/>
    </x:row>
    <x:row r="13">
      <x:c r="A13" s="12" t="str">
        <x:v>Investing activities / 投資活動</x:v>
      </x:c>
      <x:c r="B13" s="13"/>
      <x:c r="C13" s="13"/>
      <x:c r="D13" s="13"/>
      <x:c r="E13" s="13"/>
      <x:c r="F13" s="13"/>
    </x:row>
    <x:row r="14">
      <x:c r="A14" s="1" t="str">
        <x:v>Purchases of PPE / 有形固定資産の購入</x:v>
      </x:c>
      <x:c r="B14" s="9" t="n">
        <x:v>-2</x:v>
      </x:c>
      <x:c r="C14" s="9" t="n">
        <x:v>-15</x:v>
      </x:c>
      <x:c r="D14" s="9" t="n">
        <x:v>-131</x:v>
      </x:c>
      <x:c r="E14" s="9" t="n">
        <x:v>-18</x:v>
      </x:c>
      <x:c r="F14" s="9" t="n">
        <x:v>-482</x:v>
      </x:c>
    </x:row>
    <x:row r="15">
      <x:c r="A15" s="1" t="str">
        <x:v>Short-term investments purchased / 短期投資購入</x:v>
      </x:c>
      <x:c r="B15" s="9" t="n">
        <x:v>0</x:v>
      </x:c>
      <x:c r="C15" s="9" t="n">
        <x:v>0</x:v>
      </x:c>
      <x:c r="D15" s="9" t="n">
        <x:v>-3082</x:v>
      </x:c>
      <x:c r="E15" s="9" t="n">
        <x:v>0</x:v>
      </x:c>
      <x:c r="F15" s="9" t="n">
        <x:v>-18972</x:v>
      </x:c>
    </x:row>
    <x:row r="16">
      <x:c r="A16" s="1" t="str">
        <x:v>Investments sold/matured / 短期投資売却</x:v>
      </x:c>
      <x:c r="B16" s="9" t="n">
        <x:v>0</x:v>
      </x:c>
      <x:c r="C16" s="9" t="n">
        <x:v>0</x:v>
      </x:c>
      <x:c r="D16" s="9" t="n">
        <x:v>213</x:v>
      </x:c>
      <x:c r="E16" s="9" t="n">
        <x:v>0</x:v>
      </x:c>
      <x:c r="F16" s="9" t="n">
        <x:v>2610</x:v>
      </x:c>
    </x:row>
    <x:row r="17">
      <x:c r="A17" s="18" t="str">
        <x:v>Net cash from investing / 投資CF</x:v>
      </x:c>
      <x:c r="B17" s="19" t="n">
        <x:v>-2</x:v>
      </x:c>
      <x:c r="C17" s="19" t="n">
        <x:v>-22</x:v>
      </x:c>
      <x:c r="D17" s="19" t="n">
        <x:v>-3077</x:v>
      </x:c>
      <x:c r="E17" s="19" t="n">
        <x:v>-49</x:v>
      </x:c>
      <x:c r="F17" s="19" t="n">
        <x:v>-17181</x:v>
      </x:c>
    </x:row>
    <x:row r="18">
      <x:c r="A18" s="1"/>
      <x:c r="B18" s="9"/>
      <x:c r="C18" s="9"/>
      <x:c r="D18" s="9"/>
      <x:c r="E18" s="9"/>
      <x:c r="F18" s="9"/>
    </x:row>
    <x:row r="19">
      <x:c r="A19" s="12" t="str">
        <x:v>Financing activities / 財務活動</x:v>
      </x:c>
      <x:c r="B19" s="13"/>
      <x:c r="C19" s="13"/>
      <x:c r="D19" s="13"/>
      <x:c r="E19" s="13"/>
      <x:c r="F19" s="13"/>
    </x:row>
    <x:row r="20">
      <x:c r="A20" s="1" t="str">
        <x:v>Preferred stock proceeds / 優先株発行収入</x:v>
      </x:c>
      <x:c r="B20" s="9" t="n">
        <x:v>445</x:v>
      </x:c>
      <x:c r="C20" s="9" t="n">
        <x:v>1188</x:v>
      </x:c>
      <x:c r="D20" s="9" t="n">
        <x:v>16548</x:v>
      </x:c>
      <x:c r="E20" s="9" t="n">
        <x:v>3549</x:v>
      </x:c>
      <x:c r="F20" s="9" t="n">
        <x:v>110432</x:v>
      </x:c>
    </x:row>
    <x:row r="21">
      <x:c r="A21" s="1" t="str">
        <x:v>Convertible note proceeds / 転換社債発行収入</x:v>
      </x:c>
      <x:c r="B21" s="9" t="n">
        <x:v>1750</x:v>
      </x:c>
      <x:c r="C21" s="9" t="n">
        <x:v>6050</x:v>
      </x:c>
      <x:c r="D21" s="9" t="n">
        <x:v>3450</x:v>
      </x:c>
      <x:c r="E21" s="9" t="n">
        <x:v>1300</x:v>
      </x:c>
      <x:c r="F21" s="9" t="n">
        <x:v>0</x:v>
      </x:c>
    </x:row>
    <x:row r="22">
      <x:c r="A22" s="18" t="str">
        <x:v>Net cash from financing / 財務CF</x:v>
      </x:c>
      <x:c r="B22" s="19" t="n">
        <x:v>2320</x:v>
      </x:c>
      <x:c r="C22" s="19" t="n">
        <x:v>7248</x:v>
      </x:c>
      <x:c r="D22" s="19" t="n">
        <x:v>19960</x:v>
      </x:c>
      <x:c r="E22" s="19" t="n">
        <x:v>4749</x:v>
      </x:c>
      <x:c r="F22" s="19" t="n">
        <x:v>110774</x:v>
      </x:c>
    </x:row>
    <x:row r="23">
      <x:c r="A23" s="1"/>
      <x:c r="B23" s="9"/>
      <x:c r="C23" s="9"/>
      <x:c r="D23" s="9"/>
      <x:c r="E23" s="9"/>
      <x:c r="F23" s="9"/>
    </x:row>
    <x:row r="24">
      <x:c r="A24" s="1" t="str">
        <x:v>FX effect / 為替変動の影響</x:v>
      </x:c>
      <x:c r="B24" s="9" t="n">
        <x:v>0</x:v>
      </x:c>
      <x:c r="C24" s="9" t="n">
        <x:v>0</x:v>
      </x:c>
      <x:c r="D24" s="9" t="n">
        <x:v>1</x:v>
      </x:c>
      <x:c r="E24" s="9" t="n">
        <x:v>1</x:v>
      </x:c>
      <x:c r="F24" s="9" t="n">
        <x:v>-5</x:v>
      </x:c>
    </x:row>
    <x:row r="25">
      <x:c r="A25" s="18" t="str">
        <x:v>Net change in cash / 現金増減</x:v>
      </x:c>
      <x:c r="B25" s="19" t="n">
        <x:v>691</x:v>
      </x:c>
      <x:c r="C25" s="19" t="n">
        <x:v>1534</x:v>
      </x:c>
      <x:c r="D25" s="19" t="n">
        <x:v>14247</x:v>
      </x:c>
      <x:c r="E25" s="19" t="n">
        <x:v>3188</x:v>
      </x:c>
      <x:c r="F25" s="19" t="n">
        <x:v>97517</x:v>
      </x:c>
    </x:row>
    <x:row r="26">
      <x:c r="A26" s="1" t="str">
        <x:v>Beginning cash / 期首現金等</x:v>
      </x:c>
      <x:c r="B26" s="9" t="n">
        <x:v>929</x:v>
      </x:c>
      <x:c r="C26" s="9" t="n">
        <x:v>1620</x:v>
      </x:c>
      <x:c r="D26" s="9" t="n">
        <x:v>3154</x:v>
      </x:c>
      <x:c r="E26" s="9" t="n">
        <x:v>3154</x:v>
      </x:c>
      <x:c r="F26" s="9" t="n">
        <x:v>17401</x:v>
      </x:c>
    </x:row>
    <x:row r="27">
      <x:c r="A27" s="18" t="str">
        <x:v>Ending cash / 期末現金等</x:v>
      </x:c>
      <x:c r="B27" s="19" t="n">
        <x:v>1620</x:v>
      </x:c>
      <x:c r="C27" s="19" t="n">
        <x:v>3154</x:v>
      </x:c>
      <x:c r="D27" s="19" t="n">
        <x:v>17401</x:v>
      </x:c>
      <x:c r="E27" s="19" t="n">
        <x:v>6342</x:v>
      </x:c>
      <x:c r="F27" s="19" t="n">
        <x:v>114918</x:v>
      </x:c>
    </x:row>
    <x:row r="28">
      <x:c r="A28" s="1" t="str">
        <x:v>Cash flow check / 現金増減の照合差額</x:v>
      </x:c>
      <x:c r="B28" s="8" t="n">
        <x:f>B11+B17+B22+B24-B25</x:f>
        <x:v>0</x:v>
      </x:c>
      <x:c r="C28" s="8" t="n">
        <x:f>C11+C17+C22+C24-C25</x:f>
        <x:v>0</x:v>
      </x:c>
      <x:c r="D28" s="8" t="n">
        <x:f>D11+D17+D22+D24-D25</x:f>
        <x:v>0</x:v>
      </x:c>
      <x:c r="E28" s="8" t="n">
        <x:f>E11+E17+E22+E24-E25</x:f>
        <x:v>0</x:v>
      </x:c>
      <x:c r="F28" s="8" t="n">
        <x:f>F11+F17+F22+F24-F25</x:f>
        <x:v>0</x:v>
      </x:c>
    </x:row>
    <x:row r="29">
      <x:c r="A29" s="1" t="str">
        <x:v>Selected lines only; see S-1 pp. F-12–F-13. / 内訳は抜粋。</x:v>
      </x:c>
      <x:c r="B29" s="9"/>
      <x:c r="C29" s="9"/>
      <x:c r="D29" s="9"/>
      <x:c r="E29" s="9"/>
      <x:c r="F29" s="9"/>
    </x:row>
  </x:sheetData>
  <x:pageMargins left="0.7" right="0.7" top="0.75" bottom="0.75" header="0.3" footer="0.3"/>
</x:worksheet>
</file>